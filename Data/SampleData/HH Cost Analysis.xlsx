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.adhaduk\OneDrive - Bond Brand Loyalty, Inc\Documents\"/>
    </mc:Choice>
  </mc:AlternateContent>
  <xr:revisionPtr revIDLastSave="0" documentId="8_{91E5FB82-DDCA-4608-9534-43D0C66B1F76}" xr6:coauthVersionLast="47" xr6:coauthVersionMax="47" xr10:uidLastSave="{00000000-0000-0000-0000-000000000000}"/>
  <bookViews>
    <workbookView xWindow="28680" yWindow="-120" windowWidth="29040" windowHeight="15720" xr2:uid="{A0712155-63CC-4F6A-B20C-76BD5038E607}"/>
  </bookViews>
  <sheets>
    <sheet name="Cost" sheetId="1" r:id="rId1"/>
    <sheet name="API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</calcChain>
</file>

<file path=xl/sharedStrings.xml><?xml version="1.0" encoding="utf-8"?>
<sst xmlns="http://schemas.openxmlformats.org/spreadsheetml/2006/main" count="135" uniqueCount="72">
  <si>
    <t>Service type</t>
  </si>
  <si>
    <t>Custom name</t>
  </si>
  <si>
    <t>Region</t>
  </si>
  <si>
    <t>Description</t>
  </si>
  <si>
    <t>Estimated Additional Cost</t>
  </si>
  <si>
    <t>Front Door</t>
  </si>
  <si>
    <t>SceneProdFD</t>
  </si>
  <si>
    <t>Global</t>
  </si>
  <si>
    <t>SHARED COST</t>
  </si>
  <si>
    <t>API Management</t>
  </si>
  <si>
    <t>sceneplus-prod-apimgmt-p</t>
  </si>
  <si>
    <t>Canada Central</t>
  </si>
  <si>
    <t xml:space="preserve">general usage </t>
  </si>
  <si>
    <t>App Service Plan</t>
  </si>
  <si>
    <t>sceneplus-prod-http-plan-p</t>
  </si>
  <si>
    <t>app service plan underutilized and can be reused</t>
  </si>
  <si>
    <t>Function App</t>
  </si>
  <si>
    <t>sceneplus-prod-customerenablement-http-p</t>
  </si>
  <si>
    <t>sceneplus-prod-http-plan-2-p</t>
  </si>
  <si>
    <t>sceneplus-prod-postransactions-http-p</t>
  </si>
  <si>
    <t>sceneplus-prod-servicebus-plan-2-p</t>
  </si>
  <si>
    <t>sceneplus-prod-transactions-bns-servicebus-p</t>
  </si>
  <si>
    <t>Service Bus</t>
  </si>
  <si>
    <t>scene-prod-pointliabilityreconciliation-servicebus</t>
  </si>
  <si>
    <t>Event Hub</t>
  </si>
  <si>
    <t>sceneplus-prod-servicebusnamespacepremium</t>
  </si>
  <si>
    <t>Cosmos DB</t>
  </si>
  <si>
    <t>sceneplus-prod-synapze-cosmosdb-p (transaction)</t>
  </si>
  <si>
    <t>SQL Server</t>
  </si>
  <si>
    <t>sceneplus-prod-synapze-sqlmi-p</t>
  </si>
  <si>
    <t>would need to move from 16 core to 24 core and add  more storage</t>
  </si>
  <si>
    <t>storage</t>
  </si>
  <si>
    <t>vm</t>
  </si>
  <si>
    <t>keyvault</t>
  </si>
  <si>
    <t>scene-prod-funcapp</t>
  </si>
  <si>
    <t>Log Analytics</t>
  </si>
  <si>
    <t>sceneplus-prod-loganalytics</t>
  </si>
  <si>
    <t>Function</t>
  </si>
  <si>
    <t>Method</t>
  </si>
  <si>
    <t>New/Reuse</t>
  </si>
  <si>
    <t>Note</t>
  </si>
  <si>
    <t>Customer Enablement API</t>
  </si>
  <si>
    <t>Member Partner</t>
  </si>
  <si>
    <t>HttpGET</t>
  </si>
  <si>
    <t>reuse</t>
  </si>
  <si>
    <t>Member Partner Affiliation</t>
  </si>
  <si>
    <t>HttpPOST</t>
  </si>
  <si>
    <t>Member Partner Affiliation Vertification</t>
  </si>
  <si>
    <t>Member Partner Affiliation Resend Code</t>
  </si>
  <si>
    <t>Member Partner Affiliation Revocation</t>
  </si>
  <si>
    <t>HttpDELETE</t>
  </si>
  <si>
    <t>Customer Points Management API</t>
  </si>
  <si>
    <t>AccountInquiry</t>
  </si>
  <si>
    <t>new</t>
  </si>
  <si>
    <t xml:space="preserve">new function with reused methods </t>
  </si>
  <si>
    <t>MemberDetails</t>
  </si>
  <si>
    <t>PosTransaction</t>
  </si>
  <si>
    <t>Transaction</t>
  </si>
  <si>
    <t xml:space="preserve">generalized from Recipe code </t>
  </si>
  <si>
    <t>Points Issuance</t>
  </si>
  <si>
    <t>Points Redemption</t>
  </si>
  <si>
    <t>Points Redemption Reversal</t>
  </si>
  <si>
    <t>Retail Returns</t>
  </si>
  <si>
    <t>Points Issuance Reversals</t>
  </si>
  <si>
    <t>NA</t>
  </si>
  <si>
    <t>Assuming 1M/Day
32.22 GB log injection / 1 M based on last 90 days usage of sceneplus so considering that we will have 
966.6 GB jnjection per month for HH / $3.01 per GB = ~$3000
Storage for 90 days will be ~= $316
App insight bandwidth cost considering $1M request a day ~= $100</t>
  </si>
  <si>
    <t>Might need to add one instance in either customer enabelment or POS</t>
  </si>
  <si>
    <t>function app execution storage cost</t>
  </si>
  <si>
    <t>Based on 1M/day</t>
  </si>
  <si>
    <t>1 M Requests a day / 100 per second</t>
  </si>
  <si>
    <t xml:space="preserve">
Based on last month cosmos estimate 
179M requests day which means each API call requesting into 13.82 COSMOS requests (Read, Upsert) and that include change feed as well
HH assumption $1M/Day with rate limit of 100requests/sec
That will create max 415M requests/Month (Read, Upsert) and that include change feed as well
and with that we will have 
400 Create/sec
200 Upsert/Sec
900 Read/Sec
And with that it will need 5360 RU increase  = ~$2500</t>
  </si>
  <si>
    <r>
      <rPr>
        <b/>
        <sz val="11"/>
        <color theme="1"/>
        <rFont val="Calibri"/>
        <family val="2"/>
        <scheme val="minor"/>
      </rPr>
      <t xml:space="preserve">Generic Price model </t>
    </r>
    <r>
      <rPr>
        <sz val="11"/>
        <color theme="1"/>
        <rFont val="Calibri"/>
        <family val="2"/>
        <scheme val="minor"/>
      </rPr>
      <t xml:space="preserve">
out of $12000 --&gt;  $5500 is fixed cost regardless of increase in requests 
So after 30M request / Month any increase will have </t>
    </r>
    <r>
      <rPr>
        <b/>
        <sz val="11"/>
        <color rgb="FFFF0000"/>
        <rFont val="Calibri"/>
        <family val="2"/>
        <scheme val="minor"/>
      </rPr>
      <t xml:space="preserve">$0.23 increase per 1000 Requests </t>
    </r>
    <r>
      <rPr>
        <sz val="11"/>
        <color theme="1"/>
        <rFont val="Calibri"/>
        <family val="2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</si>
</sst>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]#,##0.00"/>
    <numFmt numFmtId="165" formatCode="[$$-380A]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Segoe UI Light"/>
    </font>
    <font>
      <sz val="11"/>
      <name val="Segoe UI Light"/>
    </font>
    <font>
      <b/>
      <sz val="11"/>
      <name val="Segoe UI Light"/>
      <family val="2"/>
    </font>
    <font>
      <sz val="11"/>
      <name val="Segoe UI Light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0" borderId="0" xfId="0" applyNumberFormat="1" applyFont="1" applyAlignment="1">
      <alignment horizontal="left" vertical="top" wrapText="1"/>
    </xf>
    <xf numFmtId="0" fontId="4" fillId="2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65" fontId="6" fillId="3" borderId="0" xfId="0" applyNumberFormat="1" applyFont="1" applyFill="1"/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52CC-8BF9-46D5-819A-84EFA92A4219}">
  <dimension ref="A1:H31"/>
  <sheetViews>
    <sheetView tabSelected="1" topLeftCell="A13" workbookViewId="0">
      <selection activeCell="E20" sqref="E20"/>
    </sheetView>
  </sheetViews>
  <sheetFormatPr defaultRowHeight="14.4" x14ac:dyDescent="0.3"/>
  <cols>
    <col min="1" max="1" width="15.6640625" bestFit="1" customWidth="1"/>
    <col min="2" max="2" width="45.6640625" bestFit="1" customWidth="1"/>
    <col min="3" max="3" width="14" bestFit="1" customWidth="1"/>
    <col min="4" max="4" width="81.33203125" customWidth="1"/>
    <col min="5" max="5" width="20.44140625" customWidth="1"/>
  </cols>
  <sheetData>
    <row r="1" spans="1:5" ht="33.6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</row>
    <row r="2" spans="1:5" ht="16.8" x14ac:dyDescent="0.3">
      <c r="A2" t="s">
        <v>5</v>
      </c>
      <c r="B2" t="s">
        <v>6</v>
      </c>
      <c r="C2" t="s">
        <v>7</v>
      </c>
      <c r="D2" s="2"/>
      <c r="E2" s="7" t="s">
        <v>8</v>
      </c>
    </row>
    <row r="3" spans="1:5" ht="16.8" x14ac:dyDescent="0.3">
      <c r="A3" t="s">
        <v>9</v>
      </c>
      <c r="B3" t="s">
        <v>10</v>
      </c>
      <c r="C3" t="s">
        <v>11</v>
      </c>
      <c r="D3" s="5" t="s">
        <v>12</v>
      </c>
      <c r="E3" s="7" t="s">
        <v>8</v>
      </c>
    </row>
    <row r="4" spans="1:5" x14ac:dyDescent="0.3">
      <c r="A4" t="s">
        <v>13</v>
      </c>
      <c r="B4" t="s">
        <v>14</v>
      </c>
      <c r="C4" t="s">
        <v>11</v>
      </c>
      <c r="D4" t="s">
        <v>15</v>
      </c>
      <c r="E4" s="7" t="s">
        <v>8</v>
      </c>
    </row>
    <row r="5" spans="1:5" ht="15" customHeight="1" x14ac:dyDescent="0.3">
      <c r="A5" t="s">
        <v>16</v>
      </c>
      <c r="B5" t="s">
        <v>17</v>
      </c>
      <c r="C5" t="s">
        <v>11</v>
      </c>
      <c r="E5" s="7" t="s">
        <v>8</v>
      </c>
    </row>
    <row r="6" spans="1:5" ht="13.95" customHeight="1" x14ac:dyDescent="0.3">
      <c r="A6" t="s">
        <v>13</v>
      </c>
      <c r="B6" t="s">
        <v>18</v>
      </c>
      <c r="C6" t="s">
        <v>11</v>
      </c>
      <c r="E6" s="7" t="s">
        <v>8</v>
      </c>
    </row>
    <row r="7" spans="1:5" x14ac:dyDescent="0.3">
      <c r="A7" t="s">
        <v>16</v>
      </c>
      <c r="B7" t="s">
        <v>19</v>
      </c>
      <c r="C7" t="s">
        <v>11</v>
      </c>
      <c r="E7" s="7" t="s">
        <v>8</v>
      </c>
    </row>
    <row r="8" spans="1:5" ht="13.95" customHeight="1" x14ac:dyDescent="0.3">
      <c r="A8" t="s">
        <v>13</v>
      </c>
      <c r="B8" t="s">
        <v>20</v>
      </c>
      <c r="C8" t="s">
        <v>11</v>
      </c>
      <c r="E8" s="7" t="s">
        <v>8</v>
      </c>
    </row>
    <row r="9" spans="1:5" ht="15" customHeight="1" x14ac:dyDescent="0.3">
      <c r="A9" t="s">
        <v>16</v>
      </c>
      <c r="B9" t="s">
        <v>21</v>
      </c>
      <c r="C9" t="s">
        <v>11</v>
      </c>
      <c r="E9" s="7" t="s">
        <v>8</v>
      </c>
    </row>
    <row r="10" spans="1:5" x14ac:dyDescent="0.3">
      <c r="A10" t="s">
        <v>22</v>
      </c>
      <c r="B10" t="s">
        <v>23</v>
      </c>
      <c r="C10" t="s">
        <v>11</v>
      </c>
      <c r="E10" s="7" t="s">
        <v>8</v>
      </c>
    </row>
    <row r="11" spans="1:5" x14ac:dyDescent="0.3">
      <c r="A11" t="s">
        <v>24</v>
      </c>
      <c r="B11" t="s">
        <v>25</v>
      </c>
      <c r="C11" t="s">
        <v>11</v>
      </c>
      <c r="E11" s="7" t="s">
        <v>8</v>
      </c>
    </row>
    <row r="12" spans="1:5" ht="13.95" customHeight="1" x14ac:dyDescent="0.3">
      <c r="A12" s="6" t="s">
        <v>13</v>
      </c>
      <c r="C12" t="s">
        <v>11</v>
      </c>
      <c r="D12" t="s">
        <v>66</v>
      </c>
      <c r="E12" s="3">
        <v>478</v>
      </c>
    </row>
    <row r="13" spans="1:5" ht="244.8" x14ac:dyDescent="0.3">
      <c r="A13" s="11" t="s">
        <v>26</v>
      </c>
      <c r="B13" s="10" t="s">
        <v>27</v>
      </c>
      <c r="C13" t="s">
        <v>11</v>
      </c>
      <c r="D13" s="9" t="s">
        <v>70</v>
      </c>
      <c r="E13" s="3">
        <v>2500</v>
      </c>
    </row>
    <row r="14" spans="1:5" ht="16.8" x14ac:dyDescent="0.3">
      <c r="A14" s="6" t="s">
        <v>28</v>
      </c>
      <c r="B14" t="s">
        <v>29</v>
      </c>
      <c r="C14" t="s">
        <v>11</v>
      </c>
      <c r="D14" t="s">
        <v>30</v>
      </c>
      <c r="E14" s="3">
        <v>5000</v>
      </c>
    </row>
    <row r="15" spans="1:5" ht="16.8" x14ac:dyDescent="0.3">
      <c r="A15" t="s">
        <v>31</v>
      </c>
      <c r="B15" t="s">
        <v>67</v>
      </c>
      <c r="C15" t="s">
        <v>11</v>
      </c>
      <c r="D15" t="s">
        <v>68</v>
      </c>
      <c r="E15" s="3">
        <v>200</v>
      </c>
    </row>
    <row r="16" spans="1:5" x14ac:dyDescent="0.3">
      <c r="A16" t="s">
        <v>32</v>
      </c>
      <c r="C16" t="s">
        <v>11</v>
      </c>
      <c r="E16" s="7" t="s">
        <v>64</v>
      </c>
    </row>
    <row r="17" spans="1:8" x14ac:dyDescent="0.3">
      <c r="A17" t="s">
        <v>33</v>
      </c>
      <c r="B17" t="s">
        <v>34</v>
      </c>
      <c r="C17" t="s">
        <v>11</v>
      </c>
      <c r="E17" s="7" t="s">
        <v>8</v>
      </c>
    </row>
    <row r="18" spans="1:8" ht="115.2" x14ac:dyDescent="0.3">
      <c r="A18" s="6" t="s">
        <v>35</v>
      </c>
      <c r="B18" t="s">
        <v>36</v>
      </c>
      <c r="C18" t="s">
        <v>11</v>
      </c>
      <c r="D18" s="9" t="s">
        <v>65</v>
      </c>
      <c r="E18" s="3">
        <v>4000</v>
      </c>
    </row>
    <row r="20" spans="1:8" ht="21" x14ac:dyDescent="0.4">
      <c r="E20" s="12">
        <f>SUM(E12+E13+E14+E18)</f>
        <v>11978</v>
      </c>
      <c r="F20" s="6" t="s">
        <v>69</v>
      </c>
    </row>
    <row r="23" spans="1:8" ht="14.4" customHeight="1" x14ac:dyDescent="0.3">
      <c r="E23" s="13" t="s">
        <v>71</v>
      </c>
      <c r="F23" s="13"/>
      <c r="G23" s="13"/>
      <c r="H23" s="13"/>
    </row>
    <row r="24" spans="1:8" x14ac:dyDescent="0.3">
      <c r="E24" s="13"/>
      <c r="F24" s="13"/>
      <c r="G24" s="13"/>
      <c r="H24" s="13"/>
    </row>
    <row r="25" spans="1:8" x14ac:dyDescent="0.3">
      <c r="E25" s="13"/>
      <c r="F25" s="13"/>
      <c r="G25" s="13"/>
      <c r="H25" s="13"/>
    </row>
    <row r="26" spans="1:8" x14ac:dyDescent="0.3">
      <c r="E26" s="13"/>
      <c r="F26" s="13"/>
      <c r="G26" s="13"/>
      <c r="H26" s="13"/>
    </row>
    <row r="27" spans="1:8" x14ac:dyDescent="0.3">
      <c r="E27" s="13"/>
      <c r="F27" s="13"/>
      <c r="G27" s="13"/>
      <c r="H27" s="13"/>
    </row>
    <row r="28" spans="1:8" x14ac:dyDescent="0.3">
      <c r="E28" s="13"/>
      <c r="F28" s="13"/>
      <c r="G28" s="13"/>
      <c r="H28" s="13"/>
    </row>
    <row r="29" spans="1:8" x14ac:dyDescent="0.3">
      <c r="E29" s="13"/>
      <c r="F29" s="13"/>
      <c r="G29" s="13"/>
      <c r="H29" s="13"/>
    </row>
    <row r="30" spans="1:8" x14ac:dyDescent="0.3">
      <c r="E30" s="13"/>
      <c r="F30" s="13"/>
      <c r="G30" s="13"/>
      <c r="H30" s="13"/>
    </row>
    <row r="31" spans="1:8" x14ac:dyDescent="0.3">
      <c r="E31" s="13"/>
      <c r="F31" s="13"/>
      <c r="G31" s="13"/>
      <c r="H31" s="13"/>
    </row>
  </sheetData>
  <mergeCells count="1">
    <mergeCell ref="E23:H3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2788-496E-4F51-8F1D-B8516A1CCF6A}">
  <dimension ref="A1:E14"/>
  <sheetViews>
    <sheetView workbookViewId="0">
      <selection activeCell="C8" sqref="C8"/>
    </sheetView>
  </sheetViews>
  <sheetFormatPr defaultRowHeight="14.4" x14ac:dyDescent="0.3"/>
  <cols>
    <col min="1" max="1" width="31" bestFit="1" customWidth="1"/>
    <col min="2" max="2" width="36.88671875" bestFit="1" customWidth="1"/>
    <col min="3" max="3" width="10.6640625" bestFit="1" customWidth="1"/>
    <col min="4" max="4" width="11.109375" bestFit="1" customWidth="1"/>
    <col min="5" max="5" width="32.33203125" bestFit="1" customWidth="1"/>
  </cols>
  <sheetData>
    <row r="1" spans="1:5" x14ac:dyDescent="0.3">
      <c r="A1" s="6" t="s">
        <v>16</v>
      </c>
      <c r="B1" s="6" t="s">
        <v>37</v>
      </c>
      <c r="C1" s="6" t="s">
        <v>38</v>
      </c>
      <c r="D1" s="6" t="s">
        <v>39</v>
      </c>
      <c r="E1" s="6" t="s">
        <v>40</v>
      </c>
    </row>
    <row r="2" spans="1:5" x14ac:dyDescent="0.3">
      <c r="A2" t="s">
        <v>41</v>
      </c>
      <c r="B2" t="s">
        <v>42</v>
      </c>
      <c r="C2" t="s">
        <v>43</v>
      </c>
      <c r="D2" t="s">
        <v>44</v>
      </c>
    </row>
    <row r="3" spans="1:5" x14ac:dyDescent="0.3">
      <c r="A3" t="s">
        <v>41</v>
      </c>
      <c r="B3" t="s">
        <v>45</v>
      </c>
      <c r="C3" t="s">
        <v>46</v>
      </c>
      <c r="D3" t="s">
        <v>44</v>
      </c>
    </row>
    <row r="4" spans="1:5" x14ac:dyDescent="0.3">
      <c r="A4" t="s">
        <v>41</v>
      </c>
      <c r="B4" t="s">
        <v>47</v>
      </c>
      <c r="C4" t="s">
        <v>46</v>
      </c>
      <c r="D4" t="s">
        <v>44</v>
      </c>
    </row>
    <row r="5" spans="1:5" x14ac:dyDescent="0.3">
      <c r="A5" t="s">
        <v>41</v>
      </c>
      <c r="B5" t="s">
        <v>48</v>
      </c>
      <c r="C5" t="s">
        <v>46</v>
      </c>
      <c r="D5" t="s">
        <v>44</v>
      </c>
    </row>
    <row r="6" spans="1:5" x14ac:dyDescent="0.3">
      <c r="A6" t="s">
        <v>41</v>
      </c>
      <c r="B6" t="s">
        <v>49</v>
      </c>
      <c r="C6" t="s">
        <v>50</v>
      </c>
      <c r="D6" t="s">
        <v>44</v>
      </c>
    </row>
    <row r="7" spans="1:5" x14ac:dyDescent="0.3">
      <c r="A7" t="s">
        <v>51</v>
      </c>
      <c r="B7" t="s">
        <v>52</v>
      </c>
      <c r="C7" t="s">
        <v>46</v>
      </c>
      <c r="D7" t="s">
        <v>53</v>
      </c>
      <c r="E7" t="s">
        <v>54</v>
      </c>
    </row>
    <row r="8" spans="1:5" x14ac:dyDescent="0.3">
      <c r="A8" t="s">
        <v>51</v>
      </c>
      <c r="B8" t="s">
        <v>55</v>
      </c>
      <c r="C8" t="s">
        <v>50</v>
      </c>
      <c r="D8" t="s">
        <v>53</v>
      </c>
      <c r="E8" t="s">
        <v>54</v>
      </c>
    </row>
    <row r="9" spans="1:5" ht="15" customHeight="1" x14ac:dyDescent="0.3">
      <c r="A9" t="s">
        <v>56</v>
      </c>
      <c r="B9" t="s">
        <v>57</v>
      </c>
      <c r="C9" t="s">
        <v>46</v>
      </c>
      <c r="D9" t="s">
        <v>53</v>
      </c>
      <c r="E9" t="s">
        <v>58</v>
      </c>
    </row>
    <row r="10" spans="1:5" x14ac:dyDescent="0.3">
      <c r="A10" t="s">
        <v>56</v>
      </c>
      <c r="B10" s="8" t="s">
        <v>59</v>
      </c>
      <c r="C10" t="s">
        <v>46</v>
      </c>
      <c r="D10" t="s">
        <v>53</v>
      </c>
    </row>
    <row r="11" spans="1:5" x14ac:dyDescent="0.3">
      <c r="A11" t="s">
        <v>56</v>
      </c>
      <c r="B11" s="8" t="s">
        <v>60</v>
      </c>
      <c r="C11" t="s">
        <v>46</v>
      </c>
      <c r="D11" t="s">
        <v>53</v>
      </c>
    </row>
    <row r="12" spans="1:5" x14ac:dyDescent="0.3">
      <c r="A12" t="s">
        <v>56</v>
      </c>
      <c r="B12" s="8" t="s">
        <v>61</v>
      </c>
      <c r="C12" t="s">
        <v>46</v>
      </c>
      <c r="D12" t="s">
        <v>53</v>
      </c>
    </row>
    <row r="13" spans="1:5" x14ac:dyDescent="0.3">
      <c r="A13" t="s">
        <v>56</v>
      </c>
      <c r="B13" s="8" t="s">
        <v>62</v>
      </c>
      <c r="C13" t="s">
        <v>46</v>
      </c>
      <c r="D13" t="s">
        <v>53</v>
      </c>
    </row>
    <row r="14" spans="1:5" x14ac:dyDescent="0.3">
      <c r="A14" t="s">
        <v>56</v>
      </c>
      <c r="B14" s="8" t="s">
        <v>63</v>
      </c>
      <c r="C14" t="s">
        <v>46</v>
      </c>
      <c r="D1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</vt:lpstr>
      <vt:lpstr>APIs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 Balkhi, Tamir</dc:creator>
  <cp:keywords/>
  <dc:description/>
  <cp:lastModifiedBy>Adhaduk, Nik</cp:lastModifiedBy>
  <cp:revision/>
  <dcterms:created xsi:type="dcterms:W3CDTF">2022-09-28T18:52:37Z</dcterms:created>
  <dcterms:modified xsi:type="dcterms:W3CDTF">2023-03-22T20:09:55Z</dcterms:modified>
  <cp:category/>
  <cp:contentStatus/>
</cp:coreProperties>
</file>