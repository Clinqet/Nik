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13_ncr:1_{27B38714-B6E6-4B0A-AFA6-DBA158389127}" xr6:coauthVersionLast="47" xr6:coauthVersionMax="47" xr10:uidLastSave="{00000000-0000-0000-0000-000000000000}"/>
  <bookViews>
    <workbookView xWindow="-120" yWindow="-120" windowWidth="29040" windowHeight="15840" xr2:uid="{8B1A156F-E3FA-4B72-B0D5-6924E5588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29" i="1"/>
  <c r="G28" i="1"/>
  <c r="G6" i="1"/>
  <c r="G7" i="1"/>
  <c r="G8" i="1"/>
  <c r="G9" i="1"/>
  <c r="G10" i="1"/>
  <c r="G11" i="1"/>
  <c r="G12" i="1"/>
  <c r="H12" i="1" s="1"/>
  <c r="G5" i="1"/>
  <c r="H10" i="1"/>
  <c r="H11" i="1"/>
  <c r="H5" i="1"/>
  <c r="G17" i="1"/>
  <c r="H32" i="1"/>
  <c r="H6" i="1"/>
  <c r="H7" i="1"/>
  <c r="H33" i="1"/>
  <c r="H29" i="1"/>
  <c r="H8" i="1"/>
  <c r="H9" i="1"/>
  <c r="H28" i="1"/>
  <c r="F33" i="1"/>
  <c r="F32" i="1"/>
  <c r="F28" i="1"/>
  <c r="F29" i="1"/>
  <c r="F5" i="1"/>
  <c r="F6" i="1"/>
  <c r="F7" i="1"/>
  <c r="F8" i="1"/>
  <c r="F9" i="1"/>
  <c r="F10" i="1"/>
  <c r="F11" i="1"/>
  <c r="F12" i="1"/>
  <c r="E75" i="1"/>
  <c r="G16" i="1"/>
  <c r="H16" i="1" s="1"/>
  <c r="H17" i="1"/>
  <c r="G48" i="1"/>
  <c r="H48" i="1" s="1"/>
  <c r="G49" i="1"/>
  <c r="H49" i="1" s="1"/>
  <c r="G66" i="1"/>
  <c r="H66" i="1" s="1"/>
  <c r="G67" i="1"/>
  <c r="H67" i="1" s="1"/>
  <c r="F15" i="1"/>
  <c r="G15" i="1" s="1"/>
  <c r="H15" i="1" s="1"/>
  <c r="F16" i="1"/>
  <c r="F17" i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7" i="1"/>
  <c r="G47" i="1" s="1"/>
  <c r="H47" i="1" s="1"/>
  <c r="F48" i="1"/>
  <c r="F49" i="1"/>
  <c r="F50" i="1"/>
  <c r="G50" i="1" s="1"/>
  <c r="H50" i="1" s="1"/>
  <c r="F51" i="1"/>
  <c r="G51" i="1" s="1"/>
  <c r="H51" i="1" s="1"/>
  <c r="F54" i="1"/>
  <c r="G54" i="1" s="1"/>
  <c r="H54" i="1" s="1"/>
  <c r="F55" i="1"/>
  <c r="G55" i="1" s="1"/>
  <c r="H55" i="1" s="1"/>
  <c r="F56" i="1"/>
  <c r="G56" i="1" s="1"/>
  <c r="H56" i="1" s="1"/>
  <c r="F57" i="1"/>
  <c r="G57" i="1" s="1"/>
  <c r="H57" i="1" s="1"/>
  <c r="F58" i="1"/>
  <c r="G58" i="1" s="1"/>
  <c r="H58" i="1" s="1"/>
  <c r="F61" i="1"/>
  <c r="G61" i="1" s="1"/>
  <c r="H61" i="1" s="1"/>
  <c r="F62" i="1"/>
  <c r="G62" i="1" s="1"/>
  <c r="H62" i="1" s="1"/>
  <c r="F65" i="1"/>
  <c r="G65" i="1" s="1"/>
  <c r="H65" i="1" s="1"/>
  <c r="F66" i="1"/>
  <c r="F67" i="1"/>
  <c r="F68" i="1"/>
  <c r="G68" i="1" s="1"/>
  <c r="H68" i="1" s="1"/>
  <c r="F69" i="1"/>
  <c r="G69" i="1" s="1"/>
  <c r="H69" i="1" s="1"/>
  <c r="F72" i="1"/>
  <c r="G72" i="1" s="1"/>
  <c r="H72" i="1" s="1"/>
  <c r="H73" i="1" s="1"/>
  <c r="H13" i="1" l="1"/>
  <c r="G75" i="1"/>
  <c r="H59" i="1"/>
  <c r="H52" i="1"/>
  <c r="H34" i="1"/>
  <c r="H70" i="1"/>
  <c r="H26" i="1"/>
  <c r="H30" i="1"/>
  <c r="H63" i="1"/>
  <c r="H45" i="1"/>
  <c r="F75" i="1"/>
  <c r="H75" i="1" l="1"/>
  <c r="I73" i="1" l="1"/>
  <c r="I70" i="1"/>
  <c r="I63" i="1"/>
  <c r="I59" i="1"/>
  <c r="I52" i="1"/>
  <c r="I45" i="1"/>
  <c r="I30" i="1"/>
  <c r="I26" i="1"/>
  <c r="I34" i="1"/>
  <c r="I13" i="1"/>
</calcChain>
</file>

<file path=xl/sharedStrings.xml><?xml version="1.0" encoding="utf-8"?>
<sst xmlns="http://schemas.openxmlformats.org/spreadsheetml/2006/main" count="158" uniqueCount="65">
  <si>
    <t>Partner</t>
  </si>
  <si>
    <t>API</t>
  </si>
  <si>
    <t>Metod</t>
  </si>
  <si>
    <t>Calls</t>
  </si>
  <si>
    <t>Total Request</t>
  </si>
  <si>
    <t>Total Cosmos Request</t>
  </si>
  <si>
    <t>Cost</t>
  </si>
  <si>
    <t>Backend API</t>
  </si>
  <si>
    <t>Transaction API</t>
  </si>
  <si>
    <t>Points API</t>
  </si>
  <si>
    <t>DELETE</t>
  </si>
  <si>
    <t>/accounts/{accountNumber}</t>
  </si>
  <si>
    <t>PUT</t>
  </si>
  <si>
    <t>/accounts/{accountNumber}/delink</t>
  </si>
  <si>
    <t>/customers/{uniqueCid}/merge</t>
  </si>
  <si>
    <t>POST</t>
  </si>
  <si>
    <t>/accounts/{accountNumber}/credittransactions</t>
  </si>
  <si>
    <t>/accounts/{accountNumber}/debittransactions</t>
  </si>
  <si>
    <t>GET</t>
  </si>
  <si>
    <t>/pointbycid/customers/{bnsCID}</t>
  </si>
  <si>
    <t>/customers/{customerUniqueId}</t>
  </si>
  <si>
    <t>BNS</t>
  </si>
  <si>
    <t>Customer API</t>
  </si>
  <si>
    <t>/customers/{customerUniqueId}/accounts/{accountUniqueId}/byot/transactions</t>
  </si>
  <si>
    <t>/byot/orders</t>
  </si>
  <si>
    <t>/customers/portfoliobalance/{customerUniqueId}</t>
  </si>
  <si>
    <t>/customers/{uniqueId}/giftcard/orders</t>
  </si>
  <si>
    <t>/orders/{customerUniqueId}</t>
  </si>
  <si>
    <t>/pointsforcredit</t>
  </si>
  <si>
    <t>/customers/{uniqueId}/close</t>
  </si>
  <si>
    <t>E-Commerce APIs</t>
  </si>
  <si>
    <t>/history/customers/{customerUniqueId}</t>
  </si>
  <si>
    <t>Identity</t>
  </si>
  <si>
    <t>auth</t>
  </si>
  <si>
    <t>/setlegacypasswordmigrated</t>
  </si>
  <si>
    <t>Public API</t>
  </si>
  <si>
    <t>/savetransactionmessage</t>
  </si>
  <si>
    <t>/getaccountinquiry</t>
  </si>
  <si>
    <t>POS API</t>
  </si>
  <si>
    <t>/customers/{cineplexId}</t>
  </si>
  <si>
    <t>/{accountId}/transactions</t>
  </si>
  <si>
    <t>E-Commerce API</t>
  </si>
  <si>
    <t>PLASTIC</t>
  </si>
  <si>
    <t>/customers/{uniqueId}/orders</t>
  </si>
  <si>
    <t>/orders/{orderUniqueId}</t>
  </si>
  <si>
    <t>/orders/{orderUniqueId}/refund</t>
  </si>
  <si>
    <t>/customers/{customerUniqueId}/balance</t>
  </si>
  <si>
    <t>EXPEDIA</t>
  </si>
  <si>
    <t>CINEPLEX</t>
  </si>
  <si>
    <t>RECIPE</t>
  </si>
  <si>
    <t>SCENE</t>
  </si>
  <si>
    <t>/orders/{orderId}</t>
  </si>
  <si>
    <t>BAKKT</t>
  </si>
  <si>
    <t>/customers/{uniqueId}/transactions</t>
  </si>
  <si>
    <t>RAKUTEN</t>
  </si>
  <si>
    <t>/customers/{uniqueId}/adjustment</t>
  </si>
  <si>
    <t>CSM API</t>
  </si>
  <si>
    <t>CSM</t>
  </si>
  <si>
    <t>BOND</t>
  </si>
  <si>
    <t>Internal API</t>
  </si>
  <si>
    <t>Total</t>
  </si>
  <si>
    <t>Total Throughput (RU)</t>
  </si>
  <si>
    <t>273.99 M</t>
  </si>
  <si>
    <t>% of Total</t>
  </si>
  <si>
    <t>2.1243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</si>
</sst>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0" fillId="0" borderId="0" xfId="0" applyBorder="1"/>
    <xf numFmtId="0" fontId="0" fillId="0" borderId="0" xfId="0" applyAlignment="1">
      <alignment horizontal="center" vertic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right"/>
    </xf>
    <xf numFmtId="2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/>
    <xf numFmtId="164" fontId="2" fillId="3" borderId="0" xfId="0" applyNumberFormat="1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0" fillId="0" borderId="0" xfId="1" applyNumberFormat="1" applyFont="1"/>
    <xf numFmtId="165" fontId="2" fillId="3" borderId="0" xfId="1" applyNumberFormat="1" applyFont="1" applyFill="1"/>
    <xf numFmtId="3" fontId="0" fillId="0" borderId="0" xfId="0" applyNumberFormat="1"/>
    <xf numFmtId="2" fontId="0" fillId="0" borderId="0" xfId="0" applyNumberFormat="1" applyBorder="1"/>
    <xf numFmtId="0" fontId="1" fillId="0" borderId="0" xfId="0" applyFont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5838-4FE6-4AC4-9C5A-86FB99F5047E}">
  <dimension ref="A3:I76"/>
  <sheetViews>
    <sheetView tabSelected="1" zoomScale="70" zoomScaleNormal="70" workbookViewId="0"/>
  </sheetViews>
  <sheetFormatPr defaultRowHeight="15" x14ac:dyDescent="0.25"/>
  <cols>
    <col min="1" max="1" width="30.5703125" customWidth="1"/>
    <col min="2" max="2" width="63.28515625" bestFit="1" customWidth="1"/>
    <col min="3" max="3" width="7.140625" bestFit="1" customWidth="1"/>
    <col min="4" max="4" width="74.140625" bestFit="1" customWidth="1"/>
    <col min="5" max="5" width="30" customWidth="1"/>
    <col min="6" max="6" width="27.42578125" style="11" bestFit="1" customWidth="1"/>
    <col min="7" max="7" width="27.28515625" style="11" bestFit="1" customWidth="1"/>
    <col min="8" max="8" width="19.85546875" style="13" customWidth="1"/>
    <col min="9" max="9" width="20.28515625" style="20" customWidth="1"/>
  </cols>
  <sheetData>
    <row r="3" spans="1:9" x14ac:dyDescent="0.25">
      <c r="A3" s="8" t="s">
        <v>0</v>
      </c>
      <c r="B3" s="8" t="s">
        <v>1</v>
      </c>
      <c r="C3" s="1" t="s">
        <v>2</v>
      </c>
      <c r="D3" s="1" t="s">
        <v>3</v>
      </c>
      <c r="E3" s="7" t="s">
        <v>4</v>
      </c>
      <c r="F3" s="10" t="s">
        <v>5</v>
      </c>
      <c r="G3" s="10" t="s">
        <v>61</v>
      </c>
      <c r="H3" s="12" t="s">
        <v>6</v>
      </c>
      <c r="I3" s="12" t="s">
        <v>63</v>
      </c>
    </row>
    <row r="5" spans="1:9" x14ac:dyDescent="0.25">
      <c r="A5" s="26" t="s">
        <v>21</v>
      </c>
      <c r="B5" s="26" t="s">
        <v>7</v>
      </c>
      <c r="C5" s="2" t="s">
        <v>10</v>
      </c>
      <c r="D5" s="2" t="s">
        <v>11</v>
      </c>
      <c r="E5" s="4">
        <v>52872</v>
      </c>
      <c r="F5" s="11">
        <f>E5*7.96346621109988</f>
        <v>421044.38551327289</v>
      </c>
      <c r="G5" s="11">
        <f>F5*0.142049968553576</f>
        <v>59809.341721820143</v>
      </c>
      <c r="H5" s="13">
        <f>G5*0.00040673907</f>
        <v>24.326796029245322</v>
      </c>
    </row>
    <row r="6" spans="1:9" x14ac:dyDescent="0.25">
      <c r="A6" s="26"/>
      <c r="B6" s="26"/>
      <c r="C6" s="2" t="s">
        <v>12</v>
      </c>
      <c r="D6" s="2" t="s">
        <v>11</v>
      </c>
      <c r="E6" s="4">
        <v>279671</v>
      </c>
      <c r="F6" s="11">
        <f t="shared" ref="F6:F12" si="0">E6*7.96346621109988</f>
        <v>2227150.5587245147</v>
      </c>
      <c r="G6" s="11">
        <f t="shared" ref="G6:G12" si="1">F6*0.142049968553576</f>
        <v>316366.66683089652</v>
      </c>
      <c r="H6" s="13">
        <f t="shared" ref="H6:H12" si="2">G6*0.00040673907</f>
        <v>128.6786838457987</v>
      </c>
    </row>
    <row r="7" spans="1:9" x14ac:dyDescent="0.25">
      <c r="A7" s="26"/>
      <c r="B7" s="26"/>
      <c r="C7" s="2" t="s">
        <v>10</v>
      </c>
      <c r="D7" s="2" t="s">
        <v>13</v>
      </c>
      <c r="E7" s="4">
        <v>17768</v>
      </c>
      <c r="F7" s="11">
        <f t="shared" si="0"/>
        <v>141494.86763882267</v>
      </c>
      <c r="G7" s="11">
        <f t="shared" si="1"/>
        <v>20099.341498587157</v>
      </c>
      <c r="H7" s="13">
        <f t="shared" si="2"/>
        <v>8.1751874687477457</v>
      </c>
    </row>
    <row r="8" spans="1:9" x14ac:dyDescent="0.25">
      <c r="A8" s="26"/>
      <c r="B8" s="26"/>
      <c r="C8" s="2" t="s">
        <v>12</v>
      </c>
      <c r="D8" s="2" t="s">
        <v>14</v>
      </c>
      <c r="E8" s="4">
        <v>555</v>
      </c>
      <c r="F8" s="11">
        <f t="shared" si="0"/>
        <v>4419.723747160433</v>
      </c>
      <c r="G8" s="11">
        <f t="shared" si="1"/>
        <v>627.82161929963252</v>
      </c>
      <c r="H8" s="13">
        <f t="shared" si="2"/>
        <v>0.25535958155982658</v>
      </c>
    </row>
    <row r="9" spans="1:9" x14ac:dyDescent="0.25">
      <c r="A9" s="26"/>
      <c r="B9" s="26" t="s">
        <v>8</v>
      </c>
      <c r="C9" s="2" t="s">
        <v>15</v>
      </c>
      <c r="D9" s="2" t="s">
        <v>16</v>
      </c>
      <c r="E9" s="4">
        <v>40790137</v>
      </c>
      <c r="F9" s="11">
        <f t="shared" si="0"/>
        <v>324830877.74563503</v>
      </c>
      <c r="G9" s="11">
        <f t="shared" si="1"/>
        <v>46142215.96899794</v>
      </c>
      <c r="H9" s="13">
        <f t="shared" si="2"/>
        <v>18767.842010969369</v>
      </c>
    </row>
    <row r="10" spans="1:9" x14ac:dyDescent="0.25">
      <c r="A10" s="26"/>
      <c r="B10" s="26"/>
      <c r="C10" s="2" t="s">
        <v>15</v>
      </c>
      <c r="D10" s="2" t="s">
        <v>17</v>
      </c>
      <c r="E10" s="4">
        <v>75199026</v>
      </c>
      <c r="F10" s="11">
        <f t="shared" si="0"/>
        <v>598844902.65862143</v>
      </c>
      <c r="G10" s="11">
        <f t="shared" si="1"/>
        <v>85065899.591126442</v>
      </c>
      <c r="H10" s="13">
        <f t="shared" si="2"/>
        <v>34599.624888408151</v>
      </c>
    </row>
    <row r="11" spans="1:9" x14ac:dyDescent="0.25">
      <c r="A11" s="26"/>
      <c r="B11" s="26" t="s">
        <v>9</v>
      </c>
      <c r="C11" s="2" t="s">
        <v>18</v>
      </c>
      <c r="D11" s="2" t="s">
        <v>19</v>
      </c>
      <c r="E11" s="4">
        <v>91613547</v>
      </c>
      <c r="F11" s="11">
        <f t="shared" si="0"/>
        <v>729561386.01351082</v>
      </c>
      <c r="G11" s="11">
        <f t="shared" si="1"/>
        <v>103634171.94112253</v>
      </c>
      <c r="H11" s="13">
        <f t="shared" si="2"/>
        <v>42152.066715552268</v>
      </c>
    </row>
    <row r="12" spans="1:9" x14ac:dyDescent="0.25">
      <c r="A12" s="26"/>
      <c r="B12" s="26"/>
      <c r="C12" s="2" t="s">
        <v>18</v>
      </c>
      <c r="D12" s="2" t="s">
        <v>20</v>
      </c>
      <c r="E12" s="5">
        <v>5</v>
      </c>
      <c r="F12" s="11">
        <f t="shared" si="0"/>
        <v>39.817331055499402</v>
      </c>
      <c r="G12" s="11">
        <f t="shared" si="1"/>
        <v>5.6560506243210149</v>
      </c>
      <c r="H12" s="13">
        <f t="shared" si="2"/>
        <v>2.3005367708092491E-3</v>
      </c>
    </row>
    <row r="13" spans="1:9" x14ac:dyDescent="0.25">
      <c r="A13" s="3"/>
      <c r="B13" s="3"/>
      <c r="C13" s="2"/>
      <c r="D13" s="23"/>
      <c r="E13" s="5"/>
      <c r="G13" s="15" t="s">
        <v>60</v>
      </c>
      <c r="H13" s="16">
        <f>SUM(H5:H12)</f>
        <v>95680.971942391901</v>
      </c>
      <c r="I13" s="21">
        <f>H13/H75</f>
        <v>0.77805980392552276</v>
      </c>
    </row>
    <row r="15" spans="1:9" x14ac:dyDescent="0.25">
      <c r="A15" s="26" t="s">
        <v>50</v>
      </c>
      <c r="B15" s="3" t="s">
        <v>22</v>
      </c>
      <c r="C15" s="2" t="s">
        <v>10</v>
      </c>
      <c r="D15" s="2" t="s">
        <v>29</v>
      </c>
      <c r="E15" s="5">
        <v>0</v>
      </c>
      <c r="F15" s="11">
        <f t="shared" ref="F15:F69" si="3">E15*6.31280535577282</f>
        <v>0</v>
      </c>
      <c r="G15" s="11">
        <f t="shared" ref="G15:G69" si="4">F15*0.163809844481702</f>
        <v>0</v>
      </c>
      <c r="H15" s="13">
        <f t="shared" ref="H15:H69" si="5">G15*0.00035928326</f>
        <v>0</v>
      </c>
    </row>
    <row r="16" spans="1:9" x14ac:dyDescent="0.25">
      <c r="A16" s="26"/>
      <c r="B16" s="26" t="s">
        <v>30</v>
      </c>
      <c r="C16" s="2" t="s">
        <v>18</v>
      </c>
      <c r="D16" s="2" t="s">
        <v>23</v>
      </c>
      <c r="E16" s="4">
        <v>224132</v>
      </c>
      <c r="F16" s="11">
        <f t="shared" si="3"/>
        <v>1414901.6900000738</v>
      </c>
      <c r="G16" s="11">
        <f t="shared" si="4"/>
        <v>231774.82579580942</v>
      </c>
      <c r="H16" s="13">
        <f t="shared" si="5"/>
        <v>83.272814997850503</v>
      </c>
    </row>
    <row r="17" spans="1:9" x14ac:dyDescent="0.25">
      <c r="A17" s="26"/>
      <c r="B17" s="26"/>
      <c r="C17" s="2" t="s">
        <v>15</v>
      </c>
      <c r="D17" s="2" t="s">
        <v>24</v>
      </c>
      <c r="E17" s="4">
        <v>14845</v>
      </c>
      <c r="F17" s="11">
        <f t="shared" si="3"/>
        <v>93713.595506447513</v>
      </c>
      <c r="G17" s="11">
        <f>F17*0.163809844481702</f>
        <v>15351.209505732293</v>
      </c>
      <c r="H17" s="13">
        <f t="shared" si="5"/>
        <v>5.515432596162487</v>
      </c>
    </row>
    <row r="18" spans="1:9" x14ac:dyDescent="0.25">
      <c r="A18" s="26"/>
      <c r="B18" s="26"/>
      <c r="C18" s="2" t="s">
        <v>18</v>
      </c>
      <c r="D18" s="2" t="s">
        <v>25</v>
      </c>
      <c r="E18" s="4">
        <v>4169746</v>
      </c>
      <c r="F18" s="11">
        <f t="shared" si="3"/>
        <v>26322794.881012294</v>
      </c>
      <c r="G18" s="11">
        <f t="shared" si="4"/>
        <v>4311932.9357823655</v>
      </c>
      <c r="H18" s="13">
        <f t="shared" si="5"/>
        <v>1549.205322069259</v>
      </c>
    </row>
    <row r="19" spans="1:9" x14ac:dyDescent="0.25">
      <c r="A19" s="26"/>
      <c r="B19" s="26"/>
      <c r="C19" s="2" t="s">
        <v>15</v>
      </c>
      <c r="D19" s="2" t="s">
        <v>26</v>
      </c>
      <c r="E19" s="4">
        <v>28930</v>
      </c>
      <c r="F19" s="11">
        <f t="shared" si="3"/>
        <v>182629.45894250768</v>
      </c>
      <c r="G19" s="11">
        <f t="shared" si="4"/>
        <v>29916.503267149565</v>
      </c>
      <c r="H19" s="13">
        <f t="shared" si="5"/>
        <v>10.748498821622146</v>
      </c>
    </row>
    <row r="20" spans="1:9" x14ac:dyDescent="0.25">
      <c r="A20" s="26"/>
      <c r="B20" s="26"/>
      <c r="C20" s="2" t="s">
        <v>18</v>
      </c>
      <c r="D20" s="2" t="s">
        <v>27</v>
      </c>
      <c r="E20" s="4">
        <v>2503158</v>
      </c>
      <c r="F20" s="11">
        <f t="shared" si="3"/>
        <v>15801949.228745582</v>
      </c>
      <c r="G20" s="11">
        <f t="shared" si="4"/>
        <v>2588514.8456685646</v>
      </c>
      <c r="H20" s="13">
        <f t="shared" si="5"/>
        <v>930.01005231019872</v>
      </c>
    </row>
    <row r="21" spans="1:9" x14ac:dyDescent="0.25">
      <c r="A21" s="26"/>
      <c r="B21" s="26"/>
      <c r="C21" s="2" t="s">
        <v>15</v>
      </c>
      <c r="D21" s="2" t="s">
        <v>28</v>
      </c>
      <c r="E21" s="4">
        <v>74951</v>
      </c>
      <c r="F21" s="11">
        <f t="shared" si="3"/>
        <v>473151.07422052865</v>
      </c>
      <c r="G21" s="11">
        <f t="shared" si="4"/>
        <v>77506.803884415029</v>
      </c>
      <c r="H21" s="13">
        <f t="shared" si="5"/>
        <v>27.846897171773296</v>
      </c>
    </row>
    <row r="22" spans="1:9" x14ac:dyDescent="0.25">
      <c r="A22" s="26"/>
      <c r="B22" s="25" t="s">
        <v>9</v>
      </c>
      <c r="C22" s="2" t="s">
        <v>15</v>
      </c>
      <c r="D22" s="2" t="s">
        <v>31</v>
      </c>
      <c r="E22" s="4">
        <v>840585</v>
      </c>
      <c r="F22" s="11">
        <f t="shared" si="3"/>
        <v>5306449.4899822958</v>
      </c>
      <c r="G22" s="11">
        <f t="shared" si="4"/>
        <v>869248.66570400668</v>
      </c>
      <c r="H22" s="13">
        <f t="shared" si="5"/>
        <v>312.30649436478569</v>
      </c>
    </row>
    <row r="23" spans="1:9" x14ac:dyDescent="0.25">
      <c r="A23" s="26"/>
      <c r="B23" s="25"/>
      <c r="C23" s="2" t="s">
        <v>18</v>
      </c>
      <c r="D23" s="2" t="s">
        <v>20</v>
      </c>
      <c r="E23" s="4">
        <v>1368099</v>
      </c>
      <c r="F23" s="11">
        <f t="shared" si="3"/>
        <v>8636542.6944274399</v>
      </c>
      <c r="G23" s="11">
        <f t="shared" si="4"/>
        <v>1414750.7156337386</v>
      </c>
      <c r="H23" s="13">
        <f t="shared" si="5"/>
        <v>508.29624920022258</v>
      </c>
    </row>
    <row r="24" spans="1:9" x14ac:dyDescent="0.25">
      <c r="A24" s="26"/>
      <c r="B24" s="3" t="s">
        <v>32</v>
      </c>
      <c r="C24" s="6" t="s">
        <v>15</v>
      </c>
      <c r="D24" s="6" t="s">
        <v>33</v>
      </c>
      <c r="E24" s="4">
        <v>16193064</v>
      </c>
      <c r="F24" s="11">
        <f t="shared" si="3"/>
        <v>102223661.14557205</v>
      </c>
      <c r="G24" s="11">
        <f t="shared" si="4"/>
        <v>16745242.03460636</v>
      </c>
      <c r="H24" s="13">
        <f t="shared" si="5"/>
        <v>6016.2851476824062</v>
      </c>
    </row>
    <row r="25" spans="1:9" x14ac:dyDescent="0.25">
      <c r="A25" s="26"/>
      <c r="B25" s="3" t="s">
        <v>35</v>
      </c>
      <c r="C25" s="2" t="s">
        <v>15</v>
      </c>
      <c r="D25" s="2" t="s">
        <v>34</v>
      </c>
      <c r="E25" s="4">
        <v>592410</v>
      </c>
      <c r="F25" s="11">
        <f t="shared" si="3"/>
        <v>3739769.0208133762</v>
      </c>
      <c r="G25" s="11">
        <f t="shared" si="4"/>
        <v>612610.98169692606</v>
      </c>
      <c r="H25" s="13">
        <f t="shared" si="5"/>
        <v>220.10087061587191</v>
      </c>
    </row>
    <row r="26" spans="1:9" x14ac:dyDescent="0.25">
      <c r="A26" s="3"/>
      <c r="B26" s="3"/>
      <c r="C26" s="2"/>
      <c r="D26" s="2"/>
      <c r="E26" s="4"/>
      <c r="G26" s="15" t="s">
        <v>60</v>
      </c>
      <c r="H26" s="17">
        <f>SUM(H15:H25)</f>
        <v>9663.5877798301517</v>
      </c>
      <c r="I26" s="21">
        <f>H26/H75</f>
        <v>7.8582492010205687E-2</v>
      </c>
    </row>
    <row r="28" spans="1:9" x14ac:dyDescent="0.25">
      <c r="A28" s="26" t="s">
        <v>49</v>
      </c>
      <c r="B28" s="25" t="s">
        <v>38</v>
      </c>
      <c r="C28" s="2" t="s">
        <v>15</v>
      </c>
      <c r="D28" s="2" t="s">
        <v>36</v>
      </c>
      <c r="E28" s="4">
        <v>593852</v>
      </c>
      <c r="F28" s="11">
        <f>E28*7.96346621109988</f>
        <v>4729120.3363940865</v>
      </c>
      <c r="G28" s="11">
        <f>F28*0.142049968553576</f>
        <v>671771.39507085667</v>
      </c>
      <c r="H28" s="13">
        <f>G28*0.00040673907</f>
        <v>273.23567248372279</v>
      </c>
    </row>
    <row r="29" spans="1:9" x14ac:dyDescent="0.25">
      <c r="A29" s="26"/>
      <c r="B29" s="25"/>
      <c r="C29" s="2" t="s">
        <v>15</v>
      </c>
      <c r="D29" s="2" t="s">
        <v>37</v>
      </c>
      <c r="E29" s="4">
        <v>672889</v>
      </c>
      <c r="F29" s="11">
        <f>E29*7.96346621109988</f>
        <v>5358528.815320787</v>
      </c>
      <c r="G29" s="11">
        <f>F29*0.142049968553576</f>
        <v>761178.84970974864</v>
      </c>
      <c r="H29" s="13">
        <f>G29*0.00040673907</f>
        <v>309.60117743461291</v>
      </c>
    </row>
    <row r="30" spans="1:9" x14ac:dyDescent="0.25">
      <c r="A30" s="3"/>
      <c r="B30" s="9"/>
      <c r="C30" s="2"/>
      <c r="D30" s="23"/>
      <c r="E30" s="4"/>
      <c r="G30" s="15" t="s">
        <v>60</v>
      </c>
      <c r="H30" s="17">
        <f>SUM(H28:H29)</f>
        <v>582.8368499183357</v>
      </c>
      <c r="I30" s="21">
        <f>H30/H75</f>
        <v>4.7395204706016615E-3</v>
      </c>
    </row>
    <row r="32" spans="1:9" x14ac:dyDescent="0.25">
      <c r="A32" s="26" t="s">
        <v>48</v>
      </c>
      <c r="B32" s="3" t="s">
        <v>9</v>
      </c>
      <c r="C32" s="2" t="s">
        <v>18</v>
      </c>
      <c r="D32" s="2" t="s">
        <v>39</v>
      </c>
      <c r="E32" s="4">
        <v>28196718</v>
      </c>
      <c r="F32" s="11">
        <f>E32*7.96346621109988</f>
        <v>224543611.0569118</v>
      </c>
      <c r="G32" s="11">
        <f>F32*0.142049968553576</f>
        <v>31896412.889540717</v>
      </c>
      <c r="H32" s="13">
        <f>G32*0.00040673907</f>
        <v>12973.517315027802</v>
      </c>
    </row>
    <row r="33" spans="1:9" x14ac:dyDescent="0.25">
      <c r="A33" s="26"/>
      <c r="B33" s="3" t="s">
        <v>38</v>
      </c>
      <c r="C33" s="2" t="s">
        <v>15</v>
      </c>
      <c r="D33" s="2" t="s">
        <v>40</v>
      </c>
      <c r="E33" s="4">
        <v>1638729</v>
      </c>
      <c r="F33" s="11">
        <f>E33*7.96346621109988</f>
        <v>13049963.020649496</v>
      </c>
      <c r="G33" s="11">
        <f>F33*0.142049968553576</f>
        <v>1853746.8367085904</v>
      </c>
      <c r="H33" s="13">
        <f>G33*0.00040673907</f>
        <v>753.99126437829386</v>
      </c>
    </row>
    <row r="34" spans="1:9" x14ac:dyDescent="0.25">
      <c r="D34" s="11"/>
      <c r="E34" s="22"/>
      <c r="G34" s="15" t="s">
        <v>60</v>
      </c>
      <c r="H34" s="17">
        <f>SUM(H32:H33)</f>
        <v>13727.508579406096</v>
      </c>
      <c r="I34" s="21">
        <f>H34/H75</f>
        <v>0.11162953737666256</v>
      </c>
    </row>
    <row r="36" spans="1:9" x14ac:dyDescent="0.25">
      <c r="A36" s="26" t="s">
        <v>42</v>
      </c>
      <c r="B36" s="25" t="s">
        <v>41</v>
      </c>
      <c r="C36" s="2" t="s">
        <v>18</v>
      </c>
      <c r="D36" s="2" t="s">
        <v>23</v>
      </c>
      <c r="E36" s="4">
        <v>62417</v>
      </c>
      <c r="F36" s="11">
        <f t="shared" si="3"/>
        <v>394026.37189127214</v>
      </c>
      <c r="G36" s="11">
        <f t="shared" si="4"/>
        <v>64545.398701198566</v>
      </c>
      <c r="H36" s="13">
        <f t="shared" si="5"/>
        <v>23.190081263366388</v>
      </c>
    </row>
    <row r="37" spans="1:9" x14ac:dyDescent="0.25">
      <c r="A37" s="26"/>
      <c r="B37" s="25"/>
      <c r="C37" s="2" t="s">
        <v>15</v>
      </c>
      <c r="D37" s="2" t="s">
        <v>24</v>
      </c>
      <c r="E37" s="4">
        <v>175</v>
      </c>
      <c r="F37" s="11">
        <f t="shared" si="3"/>
        <v>1104.7409372602435</v>
      </c>
      <c r="G37" s="11">
        <f t="shared" si="4"/>
        <v>180.96744112517018</v>
      </c>
      <c r="H37" s="13">
        <f t="shared" si="5"/>
        <v>6.5018572201309216E-2</v>
      </c>
    </row>
    <row r="38" spans="1:9" x14ac:dyDescent="0.25">
      <c r="A38" s="26"/>
      <c r="B38" s="25"/>
      <c r="C38" s="2" t="s">
        <v>18</v>
      </c>
      <c r="D38" s="2" t="s">
        <v>25</v>
      </c>
      <c r="E38" s="4">
        <v>5</v>
      </c>
      <c r="F38" s="11">
        <f t="shared" si="3"/>
        <v>31.5640267788641</v>
      </c>
      <c r="G38" s="11">
        <f t="shared" si="4"/>
        <v>5.1704983178620054</v>
      </c>
      <c r="H38" s="13">
        <f t="shared" si="5"/>
        <v>1.8576734914659775E-3</v>
      </c>
    </row>
    <row r="39" spans="1:9" x14ac:dyDescent="0.25">
      <c r="A39" s="26"/>
      <c r="B39" s="25"/>
      <c r="C39" s="2" t="s">
        <v>15</v>
      </c>
      <c r="D39" s="2" t="s">
        <v>26</v>
      </c>
      <c r="E39" s="4">
        <v>13975</v>
      </c>
      <c r="F39" s="11">
        <f t="shared" si="3"/>
        <v>88221.45484692516</v>
      </c>
      <c r="G39" s="11">
        <f t="shared" si="4"/>
        <v>14451.542798424305</v>
      </c>
      <c r="H39" s="13">
        <f t="shared" si="5"/>
        <v>5.1921974086474076</v>
      </c>
    </row>
    <row r="40" spans="1:9" x14ac:dyDescent="0.25">
      <c r="A40" s="26"/>
      <c r="B40" s="25"/>
      <c r="C40" s="2" t="s">
        <v>18</v>
      </c>
      <c r="D40" s="2" t="s">
        <v>27</v>
      </c>
      <c r="E40" s="4">
        <v>1222164</v>
      </c>
      <c r="F40" s="11">
        <f t="shared" si="3"/>
        <v>7715283.4448327329</v>
      </c>
      <c r="G40" s="11">
        <f t="shared" si="4"/>
        <v>1263839.3812303001</v>
      </c>
      <c r="H40" s="13">
        <f t="shared" si="5"/>
        <v>454.07633300480501</v>
      </c>
    </row>
    <row r="41" spans="1:9" x14ac:dyDescent="0.25">
      <c r="A41" s="26"/>
      <c r="B41" s="25"/>
      <c r="C41" s="2" t="s">
        <v>15</v>
      </c>
      <c r="D41" s="2" t="s">
        <v>28</v>
      </c>
      <c r="E41" s="4">
        <v>20413</v>
      </c>
      <c r="F41" s="11">
        <f t="shared" si="3"/>
        <v>128863.29572739058</v>
      </c>
      <c r="G41" s="11">
        <f t="shared" si="4"/>
        <v>21109.076432503425</v>
      </c>
      <c r="H41" s="13">
        <f t="shared" si="5"/>
        <v>7.5841377962590002</v>
      </c>
    </row>
    <row r="42" spans="1:9" x14ac:dyDescent="0.25">
      <c r="A42" s="26"/>
      <c r="B42" s="25" t="s">
        <v>38</v>
      </c>
      <c r="C42" s="2" t="s">
        <v>18</v>
      </c>
      <c r="D42" s="2" t="s">
        <v>20</v>
      </c>
      <c r="E42" s="4">
        <v>5222143</v>
      </c>
      <c r="F42" s="11">
        <f t="shared" si="3"/>
        <v>32966372.299011543</v>
      </c>
      <c r="G42" s="11">
        <f t="shared" si="4"/>
        <v>5400216.3194269696</v>
      </c>
      <c r="H42" s="13">
        <f t="shared" si="5"/>
        <v>1940.207323948923</v>
      </c>
    </row>
    <row r="43" spans="1:9" x14ac:dyDescent="0.25">
      <c r="A43" s="26"/>
      <c r="B43" s="25"/>
      <c r="C43" s="2" t="s">
        <v>15</v>
      </c>
      <c r="D43" s="2" t="s">
        <v>31</v>
      </c>
      <c r="E43" s="4">
        <v>262110</v>
      </c>
      <c r="F43" s="11">
        <f t="shared" si="3"/>
        <v>1654649.4118016139</v>
      </c>
      <c r="G43" s="11">
        <f t="shared" si="4"/>
        <v>271047.86281896202</v>
      </c>
      <c r="H43" s="13">
        <f t="shared" si="5"/>
        <v>97.382959769629466</v>
      </c>
    </row>
    <row r="44" spans="1:9" x14ac:dyDescent="0.25">
      <c r="B44" s="3" t="s">
        <v>32</v>
      </c>
      <c r="C44" s="6" t="s">
        <v>15</v>
      </c>
      <c r="D44" s="6" t="s">
        <v>33</v>
      </c>
      <c r="E44" s="4">
        <v>905335</v>
      </c>
      <c r="F44" s="11">
        <f t="shared" si="3"/>
        <v>5715203.636768586</v>
      </c>
      <c r="G44" s="11">
        <f t="shared" si="4"/>
        <v>936206.61892031971</v>
      </c>
      <c r="H44" s="13">
        <f t="shared" si="5"/>
        <v>336.36336607927012</v>
      </c>
    </row>
    <row r="45" spans="1:9" x14ac:dyDescent="0.25">
      <c r="B45" s="3"/>
      <c r="C45" s="6"/>
      <c r="D45" s="6"/>
      <c r="E45" s="4"/>
      <c r="G45" s="15" t="s">
        <v>60</v>
      </c>
      <c r="H45" s="17">
        <f>SUM(H36:H44)</f>
        <v>2864.0632755165934</v>
      </c>
      <c r="I45" s="21">
        <f>H45/H75</f>
        <v>2.3290027947463005E-2</v>
      </c>
    </row>
    <row r="47" spans="1:9" x14ac:dyDescent="0.25">
      <c r="A47" s="26" t="s">
        <v>47</v>
      </c>
      <c r="B47" s="25" t="s">
        <v>41</v>
      </c>
      <c r="C47" s="2" t="s">
        <v>15</v>
      </c>
      <c r="D47" s="2" t="s">
        <v>43</v>
      </c>
      <c r="E47" s="4">
        <v>7654</v>
      </c>
      <c r="F47" s="11">
        <f t="shared" si="3"/>
        <v>48318.212193085164</v>
      </c>
      <c r="G47" s="11">
        <f t="shared" si="4"/>
        <v>7914.9988249831576</v>
      </c>
      <c r="H47" s="13">
        <f t="shared" si="5"/>
        <v>2.8437265807361185</v>
      </c>
    </row>
    <row r="48" spans="1:9" x14ac:dyDescent="0.25">
      <c r="A48" s="26"/>
      <c r="B48" s="25"/>
      <c r="C48" s="2" t="s">
        <v>12</v>
      </c>
      <c r="D48" s="2" t="s">
        <v>44</v>
      </c>
      <c r="E48" s="4">
        <v>746</v>
      </c>
      <c r="F48" s="11">
        <f t="shared" si="3"/>
        <v>4709.3527954065239</v>
      </c>
      <c r="G48" s="11">
        <f t="shared" si="4"/>
        <v>771.43834902501123</v>
      </c>
      <c r="H48" s="13">
        <f t="shared" si="5"/>
        <v>0.27716488492672386</v>
      </c>
    </row>
    <row r="49" spans="1:9" x14ac:dyDescent="0.25">
      <c r="A49" s="26"/>
      <c r="B49" s="25"/>
      <c r="C49" s="2" t="s">
        <v>12</v>
      </c>
      <c r="D49" s="2" t="s">
        <v>45</v>
      </c>
      <c r="E49" s="4">
        <v>461</v>
      </c>
      <c r="F49" s="11">
        <f t="shared" si="3"/>
        <v>2910.2032690112701</v>
      </c>
      <c r="G49" s="11">
        <f t="shared" si="4"/>
        <v>476.71994490687689</v>
      </c>
      <c r="H49" s="13">
        <f t="shared" si="5"/>
        <v>0.17127749591316313</v>
      </c>
    </row>
    <row r="50" spans="1:9" x14ac:dyDescent="0.25">
      <c r="A50" s="26"/>
      <c r="B50" s="3" t="s">
        <v>32</v>
      </c>
      <c r="C50" s="6" t="s">
        <v>15</v>
      </c>
      <c r="D50" s="6" t="s">
        <v>33</v>
      </c>
      <c r="E50" s="4">
        <v>156303</v>
      </c>
      <c r="F50" s="11">
        <f t="shared" si="3"/>
        <v>986710.41552335909</v>
      </c>
      <c r="G50" s="11">
        <f t="shared" si="4"/>
        <v>161632.879715357</v>
      </c>
      <c r="H50" s="13">
        <f t="shared" si="5"/>
        <v>58.07198794732134</v>
      </c>
    </row>
    <row r="51" spans="1:9" x14ac:dyDescent="0.25">
      <c r="A51" s="26"/>
      <c r="B51" s="3" t="s">
        <v>9</v>
      </c>
      <c r="C51" s="2" t="s">
        <v>15</v>
      </c>
      <c r="D51" s="2" t="s">
        <v>46</v>
      </c>
      <c r="E51" s="4">
        <v>8210</v>
      </c>
      <c r="F51" s="11">
        <f t="shared" si="3"/>
        <v>51828.13197089485</v>
      </c>
      <c r="G51" s="11">
        <f t="shared" si="4"/>
        <v>8489.9582379294134</v>
      </c>
      <c r="H51" s="13">
        <f t="shared" si="5"/>
        <v>3.0502998729871353</v>
      </c>
    </row>
    <row r="52" spans="1:9" x14ac:dyDescent="0.25">
      <c r="G52" s="15" t="s">
        <v>60</v>
      </c>
      <c r="H52" s="17">
        <f>SUM(H47:H51)</f>
        <v>64.414456781884482</v>
      </c>
      <c r="I52" s="21">
        <f>H52/H75</f>
        <v>5.2380633888060406E-4</v>
      </c>
    </row>
    <row r="54" spans="1:9" x14ac:dyDescent="0.25">
      <c r="A54" s="26" t="s">
        <v>52</v>
      </c>
      <c r="B54" s="25" t="s">
        <v>41</v>
      </c>
      <c r="C54" s="2" t="s">
        <v>15</v>
      </c>
      <c r="D54" s="2" t="s">
        <v>43</v>
      </c>
      <c r="E54" s="4">
        <v>2637</v>
      </c>
      <c r="F54" s="11">
        <f t="shared" si="3"/>
        <v>16646.867723172927</v>
      </c>
      <c r="G54" s="11">
        <f t="shared" si="4"/>
        <v>2726.9208128404216</v>
      </c>
      <c r="H54" s="13">
        <f t="shared" si="5"/>
        <v>0.97973699939915648</v>
      </c>
    </row>
    <row r="55" spans="1:9" x14ac:dyDescent="0.25">
      <c r="A55" s="26"/>
      <c r="B55" s="25"/>
      <c r="C55" s="2" t="s">
        <v>12</v>
      </c>
      <c r="D55" s="2" t="s">
        <v>51</v>
      </c>
      <c r="E55" s="4">
        <v>3568</v>
      </c>
      <c r="F55" s="11">
        <f t="shared" si="3"/>
        <v>22524.089509397421</v>
      </c>
      <c r="G55" s="11">
        <f t="shared" si="4"/>
        <v>3689.667599626327</v>
      </c>
      <c r="H55" s="13">
        <f t="shared" si="5"/>
        <v>1.3256358035101217</v>
      </c>
    </row>
    <row r="56" spans="1:9" x14ac:dyDescent="0.25">
      <c r="A56" s="26"/>
      <c r="B56" s="25"/>
      <c r="C56" s="2" t="s">
        <v>18</v>
      </c>
      <c r="D56" s="2" t="s">
        <v>25</v>
      </c>
      <c r="E56" s="4">
        <v>124447</v>
      </c>
      <c r="F56" s="11">
        <f t="shared" si="3"/>
        <v>785609.68810986017</v>
      </c>
      <c r="G56" s="11">
        <f t="shared" si="4"/>
        <v>128690.6008325946</v>
      </c>
      <c r="H56" s="13">
        <f t="shared" si="5"/>
        <v>46.236378598493303</v>
      </c>
    </row>
    <row r="57" spans="1:9" x14ac:dyDescent="0.25">
      <c r="A57" s="26"/>
      <c r="B57" s="25"/>
      <c r="C57" s="2" t="s">
        <v>18</v>
      </c>
      <c r="D57" s="2" t="s">
        <v>27</v>
      </c>
      <c r="E57" s="4">
        <v>0</v>
      </c>
      <c r="F57" s="11">
        <f t="shared" si="3"/>
        <v>0</v>
      </c>
      <c r="G57" s="11">
        <f t="shared" si="4"/>
        <v>0</v>
      </c>
      <c r="H57" s="13">
        <f t="shared" si="5"/>
        <v>0</v>
      </c>
    </row>
    <row r="58" spans="1:9" x14ac:dyDescent="0.25">
      <c r="A58" s="26"/>
      <c r="B58" s="3" t="s">
        <v>32</v>
      </c>
      <c r="C58" s="6" t="s">
        <v>15</v>
      </c>
      <c r="D58" s="6" t="s">
        <v>33</v>
      </c>
      <c r="E58" s="4">
        <v>123553</v>
      </c>
      <c r="F58" s="11">
        <f t="shared" si="3"/>
        <v>779966.04012179922</v>
      </c>
      <c r="G58" s="11">
        <f t="shared" si="4"/>
        <v>127766.11573336087</v>
      </c>
      <c r="H58" s="13">
        <f t="shared" si="5"/>
        <v>45.904226578219188</v>
      </c>
    </row>
    <row r="59" spans="1:9" x14ac:dyDescent="0.25">
      <c r="C59" s="2"/>
      <c r="D59" s="2"/>
      <c r="E59" s="4"/>
      <c r="G59" s="15" t="s">
        <v>60</v>
      </c>
      <c r="H59" s="17">
        <f>SUM(H54:H58)</f>
        <v>94.445977979621773</v>
      </c>
      <c r="I59" s="21">
        <f>H59/H75</f>
        <v>7.6801706354553718E-4</v>
      </c>
    </row>
    <row r="61" spans="1:9" x14ac:dyDescent="0.25">
      <c r="A61" s="26" t="s">
        <v>54</v>
      </c>
      <c r="B61" s="3" t="s">
        <v>41</v>
      </c>
      <c r="C61" s="2" t="s">
        <v>15</v>
      </c>
      <c r="D61" s="2" t="s">
        <v>53</v>
      </c>
      <c r="E61" s="4">
        <v>5718</v>
      </c>
      <c r="F61" s="11">
        <f t="shared" si="3"/>
        <v>36096.621024308988</v>
      </c>
      <c r="G61" s="11">
        <f t="shared" si="4"/>
        <v>5912.9818763069898</v>
      </c>
      <c r="H61" s="13">
        <f t="shared" si="5"/>
        <v>2.1244354048404919</v>
      </c>
    </row>
    <row r="62" spans="1:9" x14ac:dyDescent="0.25">
      <c r="A62" s="26"/>
      <c r="B62" s="3" t="s">
        <v>32</v>
      </c>
      <c r="C62" s="6" t="s">
        <v>15</v>
      </c>
      <c r="D62" s="6" t="s">
        <v>33</v>
      </c>
      <c r="E62" s="4">
        <v>6711</v>
      </c>
      <c r="F62" s="11">
        <f t="shared" si="3"/>
        <v>42365.236742591398</v>
      </c>
      <c r="G62" s="11">
        <f t="shared" si="4"/>
        <v>6939.8428422343841</v>
      </c>
      <c r="H62" s="13">
        <f t="shared" si="5"/>
        <v>2.493369360245635</v>
      </c>
    </row>
    <row r="63" spans="1:9" x14ac:dyDescent="0.25">
      <c r="C63" s="2"/>
      <c r="D63" s="2"/>
      <c r="E63" s="4"/>
      <c r="G63" s="15" t="s">
        <v>60</v>
      </c>
      <c r="H63" s="17">
        <f>SUM(H61:H62)</f>
        <v>4.6178047650861274</v>
      </c>
      <c r="I63" s="21">
        <f>H63/H75</f>
        <v>3.755112638542704E-5</v>
      </c>
    </row>
    <row r="65" spans="1:9" x14ac:dyDescent="0.25">
      <c r="A65" s="26" t="s">
        <v>57</v>
      </c>
      <c r="B65" s="25" t="s">
        <v>9</v>
      </c>
      <c r="C65" s="2" t="s">
        <v>18</v>
      </c>
      <c r="D65" s="2" t="s">
        <v>20</v>
      </c>
      <c r="E65" s="4">
        <v>87544</v>
      </c>
      <c r="F65" s="11">
        <f t="shared" si="3"/>
        <v>552648.23206577578</v>
      </c>
      <c r="G65" s="11">
        <f t="shared" si="4"/>
        <v>90529.220947782291</v>
      </c>
      <c r="H65" s="13">
        <f t="shared" si="5"/>
        <v>32.525633627379513</v>
      </c>
    </row>
    <row r="66" spans="1:9" x14ac:dyDescent="0.25">
      <c r="A66" s="26"/>
      <c r="B66" s="25"/>
      <c r="C66" s="2" t="s">
        <v>15</v>
      </c>
      <c r="D66" s="2" t="s">
        <v>31</v>
      </c>
      <c r="E66" s="4">
        <v>53380</v>
      </c>
      <c r="F66" s="11">
        <f t="shared" si="3"/>
        <v>336977.54989115312</v>
      </c>
      <c r="G66" s="11">
        <f t="shared" si="4"/>
        <v>55200.24004149477</v>
      </c>
      <c r="H66" s="13">
        <f t="shared" si="5"/>
        <v>19.832522194890775</v>
      </c>
    </row>
    <row r="67" spans="1:9" x14ac:dyDescent="0.25">
      <c r="A67" s="26"/>
      <c r="B67" s="9" t="s">
        <v>30</v>
      </c>
      <c r="C67" s="2" t="s">
        <v>18</v>
      </c>
      <c r="D67" s="2" t="s">
        <v>27</v>
      </c>
      <c r="E67" s="4">
        <v>29635</v>
      </c>
      <c r="F67" s="11">
        <f t="shared" si="3"/>
        <v>187079.98671832753</v>
      </c>
      <c r="G67" s="11">
        <f t="shared" si="4"/>
        <v>30645.543529968108</v>
      </c>
      <c r="H67" s="13">
        <f t="shared" si="5"/>
        <v>11.010430783918849</v>
      </c>
    </row>
    <row r="68" spans="1:9" x14ac:dyDescent="0.25">
      <c r="A68" s="26"/>
      <c r="B68" s="9" t="s">
        <v>56</v>
      </c>
      <c r="C68" s="2" t="s">
        <v>15</v>
      </c>
      <c r="D68" s="2" t="s">
        <v>55</v>
      </c>
      <c r="E68" s="4">
        <v>19180</v>
      </c>
      <c r="F68" s="11">
        <f t="shared" si="3"/>
        <v>121079.6067237227</v>
      </c>
      <c r="G68" s="11">
        <f t="shared" si="4"/>
        <v>19834.031547318653</v>
      </c>
      <c r="H68" s="13">
        <f t="shared" si="5"/>
        <v>7.1260355132634903</v>
      </c>
    </row>
    <row r="69" spans="1:9" x14ac:dyDescent="0.25">
      <c r="A69" s="26"/>
      <c r="B69" s="9" t="s">
        <v>22</v>
      </c>
      <c r="C69" s="2" t="s">
        <v>10</v>
      </c>
      <c r="D69" s="2" t="s">
        <v>29</v>
      </c>
      <c r="E69" s="4">
        <v>2044</v>
      </c>
      <c r="F69" s="11">
        <f t="shared" si="3"/>
        <v>12903.374147199644</v>
      </c>
      <c r="G69" s="11">
        <f t="shared" si="4"/>
        <v>2113.6997123419878</v>
      </c>
      <c r="H69" s="13">
        <f t="shared" si="5"/>
        <v>0.75941692331129163</v>
      </c>
    </row>
    <row r="70" spans="1:9" x14ac:dyDescent="0.25">
      <c r="A70" s="3"/>
      <c r="B70" s="9"/>
      <c r="C70" s="2"/>
      <c r="D70" s="2"/>
      <c r="E70" s="4"/>
      <c r="G70" s="15" t="s">
        <v>60</v>
      </c>
      <c r="H70" s="17">
        <f>SUM(H65:H69)</f>
        <v>71.254039042763921</v>
      </c>
      <c r="I70" s="21">
        <f>H70/H75</f>
        <v>5.7942454514251787E-4</v>
      </c>
    </row>
    <row r="72" spans="1:9" x14ac:dyDescent="0.25">
      <c r="A72" s="3" t="s">
        <v>58</v>
      </c>
      <c r="B72" s="3" t="s">
        <v>59</v>
      </c>
      <c r="C72" s="2" t="s">
        <v>15</v>
      </c>
      <c r="D72" s="2" t="s">
        <v>34</v>
      </c>
      <c r="E72" s="4">
        <v>592410</v>
      </c>
      <c r="F72" s="11">
        <f t="shared" ref="F72" si="6">E72*6.31280535577282</f>
        <v>3739769.0208133762</v>
      </c>
      <c r="G72" s="11">
        <f t="shared" ref="G72" si="7">F72*0.163809844481702</f>
        <v>612610.98169692606</v>
      </c>
      <c r="H72" s="13">
        <f t="shared" ref="H72" si="8">G72*0.00035928326</f>
        <v>220.10087061587191</v>
      </c>
    </row>
    <row r="73" spans="1:9" x14ac:dyDescent="0.25">
      <c r="G73" s="15" t="s">
        <v>60</v>
      </c>
      <c r="H73" s="17">
        <f>SUM(H72)</f>
        <v>220.10087061587191</v>
      </c>
      <c r="I73" s="21">
        <f>H73/H75</f>
        <v>1.7898191955902187E-3</v>
      </c>
    </row>
    <row r="75" spans="1:9" x14ac:dyDescent="0.25">
      <c r="D75" s="18" t="s">
        <v>60</v>
      </c>
      <c r="E75" s="18">
        <f>SUM(E5:E72)</f>
        <v>273998627</v>
      </c>
      <c r="F75" s="18">
        <f>SUM(F5:F72)</f>
        <v>2124300000.1284072</v>
      </c>
      <c r="G75" s="18">
        <f>SUM(G5:G72)</f>
        <v>306556704.00205624</v>
      </c>
      <c r="H75" s="19">
        <f>SUM(H13,H26,H30,H34,H45,H52,H59,H63,H70,H73)</f>
        <v>122973.80157624831</v>
      </c>
    </row>
    <row r="76" spans="1:9" x14ac:dyDescent="0.25">
      <c r="E76" s="24" t="s">
        <v>62</v>
      </c>
      <c r="F76" s="14" t="s">
        <v>64</v>
      </c>
    </row>
  </sheetData>
  <mergeCells count="20">
    <mergeCell ref="B65:B66"/>
    <mergeCell ref="A65:A69"/>
    <mergeCell ref="B47:B49"/>
    <mergeCell ref="A47:A51"/>
    <mergeCell ref="B54:B57"/>
    <mergeCell ref="A54:A58"/>
    <mergeCell ref="A61:A62"/>
    <mergeCell ref="B28:B29"/>
    <mergeCell ref="A28:A29"/>
    <mergeCell ref="A32:A33"/>
    <mergeCell ref="B36:B41"/>
    <mergeCell ref="B42:B43"/>
    <mergeCell ref="A36:A43"/>
    <mergeCell ref="B22:B23"/>
    <mergeCell ref="A15:A25"/>
    <mergeCell ref="B5:B8"/>
    <mergeCell ref="B9:B10"/>
    <mergeCell ref="B11:B12"/>
    <mergeCell ref="A5:A12"/>
    <mergeCell ref="B16:B21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F83BCA6057949AE581FEA92E0CB78" ma:contentTypeVersion="9" ma:contentTypeDescription="Create a new document." ma:contentTypeScope="" ma:versionID="18c85fef492710e6ed7a1ad3f720f9be">
  <xsd:schema xmlns:xsd="http://www.w3.org/2001/XMLSchema" xmlns:xs="http://www.w3.org/2001/XMLSchema" xmlns:p="http://schemas.microsoft.com/office/2006/metadata/properties" xmlns:ns3="6898af2f-34fd-45a8-a790-2e92b85fedbc" xmlns:ns4="903e3899-a62d-40e2-8258-6f6a841b4927" targetNamespace="http://schemas.microsoft.com/office/2006/metadata/properties" ma:root="true" ma:fieldsID="75e20f0228d850322eefb6f2289cf4ce" ns3:_="" ns4:_="">
    <xsd:import namespace="6898af2f-34fd-45a8-a790-2e92b85fedbc"/>
    <xsd:import namespace="903e3899-a62d-40e2-8258-6f6a841b492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8af2f-34fd-45a8-a790-2e92b85fed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e3899-a62d-40e2-8258-6f6a841b4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675472-07E6-4722-BD83-475E19E0DE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FCCFD5-A548-4067-B2B0-CD5F38219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8af2f-34fd-45a8-a790-2e92b85fedbc"/>
    <ds:schemaRef ds:uri="903e3899-a62d-40e2-8258-6f6a841b49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351C1E-7976-4583-A1E6-50B3C7D9150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6898af2f-34fd-45a8-a790-2e92b85fedbc"/>
    <ds:schemaRef ds:uri="http://schemas.microsoft.com/office/2006/metadata/properties"/>
    <ds:schemaRef ds:uri="http://schemas.openxmlformats.org/package/2006/metadata/core-properties"/>
    <ds:schemaRef ds:uri="903e3899-a62d-40e2-8258-6f6a841b49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Adhaduk, Nik</dc:creator>
  <cp:lastModifiedBy>Adhaduk, Nik</cp:lastModifiedBy>
  <dcterms:created xsi:type="dcterms:W3CDTF">2022-03-04T04:26:01Z</dcterms:created>
  <dcterms:modified xsi:type="dcterms:W3CDTF">2022-03-04T20:27:43Z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0x0101008B7F83BCA6057949AE581FEA92E0CB78</vt:lpwstr>
  </property>
</Properties>
</file>